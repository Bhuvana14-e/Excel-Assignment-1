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set" sheetId="2" r:id="rId5"/>
  </sheets>
  <definedNames/>
  <calcPr/>
  <extLst>
    <ext uri="GoogleSheetsCustomDataVersion2">
      <go:sheetsCustomData xmlns:go="http://customooxmlschemas.google.com/" r:id="rId6" roundtripDataChecksum="FktjQBVhGt6mRKKw8wdMyWEA5Iui01fqLvTAXteoxqk="/>
    </ext>
  </extLst>
</workbook>
</file>

<file path=xl/sharedStrings.xml><?xml version="1.0" encoding="utf-8"?>
<sst xmlns="http://schemas.openxmlformats.org/spreadsheetml/2006/main" count="168" uniqueCount="119">
  <si>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</si>
  <si>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</si>
  <si>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</si>
  <si>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</si>
  <si>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</si>
  <si>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</si>
  <si>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</si>
  <si>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</si>
  <si>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</si>
  <si>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</si>
  <si>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</si>
  <si>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</si>
  <si>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</si>
  <si>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</si>
  <si>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</si>
  <si>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</si>
  <si>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</si>
  <si>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MONTH</t>
  </si>
  <si>
    <t>COUNTRY CODE</t>
  </si>
  <si>
    <t>DAY</t>
  </si>
  <si>
    <t>Product ID</t>
  </si>
  <si>
    <t>Product Name</t>
  </si>
  <si>
    <t>Brand Name</t>
  </si>
  <si>
    <t>price range</t>
  </si>
  <si>
    <t>Price ($)</t>
  </si>
  <si>
    <t>Quantity</t>
  </si>
  <si>
    <t>Category</t>
  </si>
  <si>
    <t>28-JAN-US</t>
  </si>
  <si>
    <t>Laptop</t>
  </si>
  <si>
    <t xml:space="preserve"> Dell</t>
  </si>
  <si>
    <t>Electronics</t>
  </si>
  <si>
    <t>Sum of product price</t>
  </si>
  <si>
    <t>15-FEB-US</t>
  </si>
  <si>
    <t>Sneakers</t>
  </si>
  <si>
    <t>Nike</t>
  </si>
  <si>
    <t>Fashion</t>
  </si>
  <si>
    <t>Count of products</t>
  </si>
  <si>
    <t>03-MAR-US</t>
  </si>
  <si>
    <t>Coffee Maker</t>
  </si>
  <si>
    <t>Keurig</t>
  </si>
  <si>
    <t>Kitchen</t>
  </si>
  <si>
    <t>Average</t>
  </si>
  <si>
    <t>11-APR-US</t>
  </si>
  <si>
    <t>Smartphone</t>
  </si>
  <si>
    <t>Samsung</t>
  </si>
  <si>
    <t>Minimum</t>
  </si>
  <si>
    <t>22-MAY-US</t>
  </si>
  <si>
    <t>Backpack</t>
  </si>
  <si>
    <t>North Face</t>
  </si>
  <si>
    <t>Outdoor</t>
  </si>
  <si>
    <t>Maximum</t>
  </si>
  <si>
    <t>07-JUN-UK</t>
  </si>
  <si>
    <t>Headphones</t>
  </si>
  <si>
    <t>Sony</t>
  </si>
  <si>
    <t>SumIf function</t>
  </si>
  <si>
    <t>19-JUL-UK</t>
  </si>
  <si>
    <t>T-shirt</t>
  </si>
  <si>
    <t>Adidas</t>
  </si>
  <si>
    <t>CountIf function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</si>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</sst>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sz val="10.0"/>
      <color rgb="FF000000"/>
      <name val="Arial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color theme="1"/>
      <name val="Arial"/>
      <scheme val="minor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Border="1" applyFill="1" applyFont="1"/>
    <xf borderId="0" fillId="0" fontId="6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2" fillId="3" fontId="9" numFmtId="0" xfId="0" applyAlignment="1" applyBorder="1" applyFill="1" applyFont="1">
      <alignment readingOrder="0"/>
    </xf>
    <xf borderId="2" fillId="3" fontId="7" numFmtId="0" xfId="0" applyBorder="1" applyFont="1"/>
    <xf borderId="2" fillId="3" fontId="10" numFmtId="0" xfId="0" applyAlignment="1" applyBorder="1" applyFont="1">
      <alignment readingOrder="0"/>
    </xf>
    <xf borderId="0" fillId="0" fontId="5" numFmtId="0" xfId="0" applyFont="1"/>
    <xf borderId="1" fillId="4" fontId="8" numFmtId="0" xfId="0" applyBorder="1" applyFill="1" applyFont="1"/>
    <xf borderId="1" fillId="4" fontId="8" numFmtId="0" xfId="0" applyAlignment="1" applyBorder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2">
    <tableStyle count="3" pivot="0" name="Dataset-style">
      <tableStyleElement dxfId="1" type="headerRow"/>
      <tableStyleElement dxfId="2" type="firstRowStripe"/>
      <tableStyleElement dxfId="3" type="secondRowStripe"/>
    </tableStyle>
    <tableStyle count="3" pivot="0" name="Dataset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1:I35" displayName="Table_1" name="Table_1" id="1">
  <tableColumns count="6">
    <tableColumn name="Product ID" id="1"/>
    <tableColumn name="Product Name" id="2"/>
    <tableColumn name="Brand Name" id="3"/>
    <tableColumn name="price range" id="4"/>
    <tableColumn name="Price ($)" id="5"/>
    <tableColumn name="Quantity" id="6"/>
  </tableColumns>
  <tableStyleInfo name="Dataset-style" showColumnStripes="0" showFirstColumn="1" showLastColumn="1" showRowStripes="1"/>
</table>
</file>

<file path=xl/tables/table2.xml><?xml version="1.0" encoding="utf-8"?>
<table xmlns="http://schemas.openxmlformats.org/spreadsheetml/2006/main" ref="J1:J35" displayName="Table_2" name="Table_2" id="2">
  <tableColumns count="1">
    <tableColumn name="Category" id="1"/>
  </tableColumns>
  <tableStyleInfo name="Datase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7.5"/>
    <col customWidth="1" min="3" max="6" width="12.63"/>
  </cols>
  <sheetData>
    <row r="1" ht="15.75" customHeight="1">
      <c r="A1" s="1" t="s">
        <v>0</v>
      </c>
    </row>
    <row r="2" ht="15.75" customHeight="1"/>
    <row r="3" ht="15.75" customHeight="1">
      <c r="B3" s="2" t="s">
        <v>1</v>
      </c>
    </row>
    <row r="4" ht="15.75" customHeight="1">
      <c r="B4" s="2"/>
      <c r="C4" s="3" t="s">
        <v>2</v>
      </c>
    </row>
    <row r="5" ht="15.75" customHeight="1">
      <c r="B5" s="2"/>
      <c r="C5" s="3" t="s">
        <v>3</v>
      </c>
    </row>
    <row r="6" ht="15.75" customHeight="1">
      <c r="B6" s="2"/>
      <c r="C6" s="3" t="s">
        <v>4</v>
      </c>
    </row>
    <row r="7" ht="15.75" customHeight="1">
      <c r="B7" s="4"/>
    </row>
    <row r="8" ht="15.75" customHeight="1">
      <c r="B8" s="2" t="s">
        <v>5</v>
      </c>
    </row>
    <row r="9" ht="15.75" customHeight="1">
      <c r="C9" s="3" t="s">
        <v>6</v>
      </c>
    </row>
    <row r="10" ht="15.75" customHeight="1">
      <c r="C10" s="3" t="s">
        <v>7</v>
      </c>
    </row>
    <row r="11" ht="15.75" customHeight="1">
      <c r="B11" s="4"/>
    </row>
    <row r="12" ht="15.75" customHeight="1">
      <c r="B12" s="2" t="s">
        <v>8</v>
      </c>
    </row>
    <row r="13" ht="15.75" customHeight="1">
      <c r="C13" s="3" t="s">
        <v>9</v>
      </c>
    </row>
    <row r="14" ht="15.75" customHeight="1">
      <c r="B14" s="4"/>
    </row>
    <row r="15" ht="15.75" customHeight="1">
      <c r="B15" s="2" t="s">
        <v>10</v>
      </c>
    </row>
    <row r="16" ht="15.75" customHeight="1">
      <c r="C16" s="3" t="s">
        <v>11</v>
      </c>
    </row>
    <row r="17" ht="15.75" customHeight="1">
      <c r="C17" s="3" t="s">
        <v>12</v>
      </c>
    </row>
    <row r="18" ht="15.75" customHeight="1">
      <c r="B18" s="4"/>
    </row>
    <row r="19" ht="15.75" customHeight="1">
      <c r="B19" s="2" t="s">
        <v>13</v>
      </c>
    </row>
    <row r="20" ht="15.75" customHeight="1">
      <c r="C20" s="3" t="s">
        <v>14</v>
      </c>
    </row>
    <row r="21" ht="15.75" customHeight="1">
      <c r="C21" s="3" t="s">
        <v>15</v>
      </c>
    </row>
    <row r="22" ht="15.75" customHeight="1">
      <c r="C22" s="3" t="s">
        <v>16</v>
      </c>
    </row>
    <row r="23" ht="15.75" customHeight="1">
      <c r="B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25"/>
    <col customWidth="1" min="3" max="4" width="12.63"/>
    <col customWidth="1" min="5" max="5" width="14.13"/>
    <col customWidth="1" min="6" max="6" width="12.63"/>
    <col customWidth="1" min="11" max="12" width="18.0"/>
  </cols>
  <sheetData>
    <row r="1" ht="15.75" customHeight="1">
      <c r="A1" s="5" t="s">
        <v>17</v>
      </c>
      <c r="B1" s="5" t="s">
        <v>18</v>
      </c>
      <c r="C1" s="5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</row>
    <row r="2" ht="15.75" customHeight="1">
      <c r="A2" s="7" t="str">
        <f>MID(Dataset!$D2,4,3)</f>
        <v>JAN</v>
      </c>
      <c r="B2" s="7" t="str">
        <f>RIGHT(Dataset!$D2,2)</f>
        <v>US</v>
      </c>
      <c r="C2" s="7" t="str">
        <f>LEFT(Dataset!$D2,2)</f>
        <v>28</v>
      </c>
      <c r="D2" s="8" t="s">
        <v>27</v>
      </c>
      <c r="E2" s="8" t="s">
        <v>28</v>
      </c>
      <c r="F2" s="8" t="s">
        <v>29</v>
      </c>
      <c r="G2" s="8" t="str">
        <f>IF(Dataset!$H2&gt;=500,"high price","standard price")</f>
        <v>high price</v>
      </c>
      <c r="H2" s="8">
        <v>1000.0</v>
      </c>
      <c r="I2" s="8">
        <v>30.0</v>
      </c>
      <c r="J2" s="8" t="s">
        <v>30</v>
      </c>
      <c r="L2" s="9" t="s">
        <v>31</v>
      </c>
      <c r="M2" s="10">
        <f>SUM(Dataset!$H$2:$H$35)</f>
        <v>10100</v>
      </c>
    </row>
    <row r="3" ht="15.75" customHeight="1">
      <c r="A3" s="7" t="str">
        <f>MID(Dataset!$D3,4,3)</f>
        <v>FEB</v>
      </c>
      <c r="B3" s="7" t="str">
        <f>RIGHT(Dataset!$D3,2)</f>
        <v>US</v>
      </c>
      <c r="C3" s="7" t="str">
        <f>LEFT(Dataset!$D3,2)</f>
        <v>15</v>
      </c>
      <c r="D3" s="8" t="s">
        <v>32</v>
      </c>
      <c r="E3" s="8" t="s">
        <v>33</v>
      </c>
      <c r="F3" s="8" t="s">
        <v>34</v>
      </c>
      <c r="G3" s="8" t="str">
        <f>IF(Dataset!$H3&gt;=500,"high price","standard price")</f>
        <v>standard price</v>
      </c>
      <c r="H3" s="8">
        <v>80.0</v>
      </c>
      <c r="I3" s="8">
        <v>15.0</v>
      </c>
      <c r="J3" s="8" t="s">
        <v>35</v>
      </c>
      <c r="L3" s="9" t="s">
        <v>36</v>
      </c>
      <c r="M3" s="10">
        <f>COUNT(I2:I35)</f>
        <v>34</v>
      </c>
    </row>
    <row r="4" ht="15.75" customHeight="1">
      <c r="A4" s="7" t="str">
        <f>MID(Dataset!$D4,4,3)</f>
        <v>MAR</v>
      </c>
      <c r="B4" s="7" t="str">
        <f>RIGHT(Dataset!$D4,2)</f>
        <v>US</v>
      </c>
      <c r="C4" s="7" t="str">
        <f>LEFT(Dataset!$D4,2)</f>
        <v>03</v>
      </c>
      <c r="D4" s="8" t="s">
        <v>37</v>
      </c>
      <c r="E4" s="8" t="s">
        <v>38</v>
      </c>
      <c r="F4" s="8" t="s">
        <v>39</v>
      </c>
      <c r="G4" s="8" t="str">
        <f>IF(Dataset!$H4&gt;=500,"high price","standard price")</f>
        <v>standard price</v>
      </c>
      <c r="H4" s="8">
        <v>130.0</v>
      </c>
      <c r="I4" s="8">
        <v>40.0</v>
      </c>
      <c r="J4" s="8" t="s">
        <v>40</v>
      </c>
      <c r="L4" s="11" t="s">
        <v>41</v>
      </c>
      <c r="M4" s="10">
        <f>AVERAGE(Dataset!$H$2:$H$35)</f>
        <v>297.0588235</v>
      </c>
    </row>
    <row r="5" ht="15.75" customHeight="1">
      <c r="A5" s="7" t="str">
        <f>MID(Dataset!$D5,4,3)</f>
        <v>APR</v>
      </c>
      <c r="B5" s="7" t="str">
        <f>RIGHT(Dataset!$D5,2)</f>
        <v>US</v>
      </c>
      <c r="C5" s="7" t="str">
        <f>LEFT(Dataset!$D5,2)</f>
        <v>11</v>
      </c>
      <c r="D5" s="8" t="s">
        <v>42</v>
      </c>
      <c r="E5" s="8" t="s">
        <v>43</v>
      </c>
      <c r="F5" s="8" t="s">
        <v>44</v>
      </c>
      <c r="G5" s="8" t="str">
        <f>IF(Dataset!$H5&gt;=500,"high price","standard price")</f>
        <v>high price</v>
      </c>
      <c r="H5" s="8">
        <v>900.0</v>
      </c>
      <c r="I5" s="8">
        <v>25.0</v>
      </c>
      <c r="J5" s="8" t="s">
        <v>30</v>
      </c>
      <c r="L5" s="11" t="s">
        <v>45</v>
      </c>
      <c r="M5" s="10">
        <f>MIN(Dataset!$H$2:$H$35)</f>
        <v>30</v>
      </c>
    </row>
    <row r="6" ht="15.75" customHeight="1">
      <c r="A6" s="7" t="str">
        <f>MID(Dataset!$D6,4,3)</f>
        <v>MAY</v>
      </c>
      <c r="B6" s="7" t="str">
        <f>RIGHT(Dataset!$D6,2)</f>
        <v>US</v>
      </c>
      <c r="C6" s="7" t="str">
        <f>LEFT(Dataset!$D6,2)</f>
        <v>22</v>
      </c>
      <c r="D6" s="8" t="s">
        <v>46</v>
      </c>
      <c r="E6" s="8" t="s">
        <v>47</v>
      </c>
      <c r="F6" s="8" t="s">
        <v>48</v>
      </c>
      <c r="G6" s="8" t="str">
        <f>IF(Dataset!$H6&gt;=500,"high price","standard price")</f>
        <v>standard price</v>
      </c>
      <c r="H6" s="8">
        <v>70.0</v>
      </c>
      <c r="I6" s="8">
        <v>20.0</v>
      </c>
      <c r="J6" s="8" t="s">
        <v>49</v>
      </c>
      <c r="L6" s="11" t="s">
        <v>50</v>
      </c>
      <c r="M6" s="10">
        <f>MAX(Dataset!$H$2:$H$35)</f>
        <v>1000</v>
      </c>
    </row>
    <row r="7" ht="15.75" customHeight="1">
      <c r="A7" s="7" t="str">
        <f>MID(Dataset!$D7,4,3)</f>
        <v>JUN</v>
      </c>
      <c r="B7" s="7" t="str">
        <f>RIGHT(Dataset!$D7,2)</f>
        <v>UK</v>
      </c>
      <c r="C7" s="7" t="str">
        <f>LEFT(Dataset!$D7,2)</f>
        <v>07</v>
      </c>
      <c r="D7" s="8" t="s">
        <v>51</v>
      </c>
      <c r="E7" s="8" t="s">
        <v>52</v>
      </c>
      <c r="F7" s="8" t="s">
        <v>53</v>
      </c>
      <c r="G7" s="8" t="str">
        <f>IF(Dataset!$H7&gt;=500,"high price","standard price")</f>
        <v>standard price</v>
      </c>
      <c r="H7" s="8">
        <v>200.0</v>
      </c>
      <c r="I7" s="8">
        <v>45.0</v>
      </c>
      <c r="J7" s="8" t="s">
        <v>30</v>
      </c>
      <c r="L7" s="11" t="s">
        <v>54</v>
      </c>
      <c r="M7" s="10">
        <f>SUMIF(Dataset!$J$2:$J$35,"Electronics",Dataset!$H$2:$H$35)</f>
        <v>8050</v>
      </c>
    </row>
    <row r="8" ht="15.75" customHeight="1">
      <c r="A8" s="7" t="str">
        <f>MID(Dataset!$D8,4,3)</f>
        <v>JUL</v>
      </c>
      <c r="B8" s="7" t="str">
        <f>RIGHT(Dataset!$D8,2)</f>
        <v>UK</v>
      </c>
      <c r="C8" s="7" t="str">
        <f>LEFT(Dataset!$D8,2)</f>
        <v>19</v>
      </c>
      <c r="D8" s="8" t="s">
        <v>55</v>
      </c>
      <c r="E8" s="8" t="s">
        <v>56</v>
      </c>
      <c r="F8" s="8" t="s">
        <v>57</v>
      </c>
      <c r="G8" s="8" t="str">
        <f>IF(Dataset!$H8&gt;=500,"high price","standard price")</f>
        <v>standard price</v>
      </c>
      <c r="H8" s="8">
        <v>30.0</v>
      </c>
      <c r="I8" s="8">
        <v>5.0</v>
      </c>
      <c r="J8" s="8" t="s">
        <v>35</v>
      </c>
      <c r="L8" s="11" t="s">
        <v>58</v>
      </c>
      <c r="M8" s="10">
        <f>COUNTIF(Dataset!$H$2:$H$35,"&lt;100")</f>
        <v>11</v>
      </c>
    </row>
    <row r="9" ht="15.75" customHeight="1">
      <c r="A9" s="7" t="str">
        <f>MID(Dataset!$D9,4,3)</f>
        <v>AUG</v>
      </c>
      <c r="B9" s="7" t="str">
        <f>RIGHT(Dataset!$D9,2)</f>
        <v>UK</v>
      </c>
      <c r="C9" s="7" t="str">
        <f>LEFT(Dataset!$D9,2)</f>
        <v>23</v>
      </c>
      <c r="D9" s="8" t="s">
        <v>59</v>
      </c>
      <c r="E9" s="8" t="s">
        <v>60</v>
      </c>
      <c r="F9" s="8" t="s">
        <v>61</v>
      </c>
      <c r="G9" s="8" t="str">
        <f>IF(Dataset!$H9&gt;=500,"high price","standard price")</f>
        <v>standard price</v>
      </c>
      <c r="H9" s="8">
        <v>90.0</v>
      </c>
      <c r="I9" s="8">
        <v>35.0</v>
      </c>
      <c r="J9" s="8" t="s">
        <v>40</v>
      </c>
      <c r="L9" s="12"/>
    </row>
    <row r="10" ht="15.75" customHeight="1">
      <c r="A10" s="7" t="str">
        <f>MID(Dataset!$D10,4,3)</f>
        <v>SEP</v>
      </c>
      <c r="B10" s="7" t="str">
        <f>RIGHT(Dataset!$D10,2)</f>
        <v>UK</v>
      </c>
      <c r="C10" s="7" t="str">
        <f>LEFT(Dataset!$D10,2)</f>
        <v>05</v>
      </c>
      <c r="D10" s="8" t="s">
        <v>62</v>
      </c>
      <c r="E10" s="8" t="s">
        <v>63</v>
      </c>
      <c r="F10" s="8" t="s">
        <v>64</v>
      </c>
      <c r="G10" s="8" t="str">
        <f>IF(Dataset!$H10&gt;=500,"high price","standard price")</f>
        <v>high price</v>
      </c>
      <c r="H10" s="8">
        <v>500.0</v>
      </c>
      <c r="I10" s="8">
        <v>50.0</v>
      </c>
      <c r="J10" s="8" t="s">
        <v>30</v>
      </c>
    </row>
    <row r="11" ht="15.75" customHeight="1">
      <c r="A11" s="7" t="str">
        <f>MID(Dataset!$D11,4,3)</f>
        <v>OCT</v>
      </c>
      <c r="B11" s="7" t="str">
        <f>RIGHT(Dataset!$D11,2)</f>
        <v>UK</v>
      </c>
      <c r="C11" s="7" t="str">
        <f>LEFT(Dataset!$D11,2)</f>
        <v>14</v>
      </c>
      <c r="D11" s="8" t="s">
        <v>65</v>
      </c>
      <c r="E11" s="8" t="s">
        <v>66</v>
      </c>
      <c r="F11" s="8" t="s">
        <v>67</v>
      </c>
      <c r="G11" s="8" t="str">
        <f>IF(Dataset!$H11&gt;=500,"high price","standard price")</f>
        <v>standard price</v>
      </c>
      <c r="H11" s="8">
        <v>130.0</v>
      </c>
      <c r="I11" s="8">
        <v>10.0</v>
      </c>
      <c r="J11" s="8" t="s">
        <v>49</v>
      </c>
    </row>
    <row r="12" ht="15.75" customHeight="1">
      <c r="A12" s="7" t="str">
        <f>MID(Dataset!$D12,4,3)</f>
        <v>JUN</v>
      </c>
      <c r="B12" s="7" t="str">
        <f>RIGHT(Dataset!$D12,2)</f>
        <v>IN</v>
      </c>
      <c r="C12" s="7" t="str">
        <f>LEFT(Dataset!$D12,2)</f>
        <v>17</v>
      </c>
      <c r="D12" s="8" t="s">
        <v>68</v>
      </c>
      <c r="E12" s="8" t="s">
        <v>28</v>
      </c>
      <c r="F12" s="8" t="s">
        <v>69</v>
      </c>
      <c r="G12" s="8" t="str">
        <f>IF(Dataset!$H12&gt;=500,"high price","standard price")</f>
        <v>high price</v>
      </c>
      <c r="H12" s="8">
        <v>950.0</v>
      </c>
      <c r="I12" s="8">
        <v>25.0</v>
      </c>
      <c r="J12" s="8" t="s">
        <v>30</v>
      </c>
    </row>
    <row r="13" ht="15.75" customHeight="1">
      <c r="A13" s="7" t="str">
        <f>MID(Dataset!$D13,4,3)</f>
        <v>NOV</v>
      </c>
      <c r="B13" s="7" t="str">
        <f>RIGHT(Dataset!$D13,2)</f>
        <v>AU</v>
      </c>
      <c r="C13" s="7" t="str">
        <f>LEFT(Dataset!$D13,2)</f>
        <v>25</v>
      </c>
      <c r="D13" s="8" t="s">
        <v>70</v>
      </c>
      <c r="E13" s="8" t="s">
        <v>33</v>
      </c>
      <c r="F13" s="8" t="s">
        <v>57</v>
      </c>
      <c r="G13" s="8" t="str">
        <f>IF(Dataset!$H13&gt;=500,"high price","standard price")</f>
        <v>standard price</v>
      </c>
      <c r="H13" s="8">
        <v>90.0</v>
      </c>
      <c r="I13" s="8">
        <v>40.0</v>
      </c>
      <c r="J13" s="8" t="s">
        <v>35</v>
      </c>
    </row>
    <row r="14" ht="15.75" customHeight="1">
      <c r="A14" s="7" t="str">
        <f>MID(Dataset!$D14,4,3)</f>
        <v>DEC</v>
      </c>
      <c r="B14" s="7" t="str">
        <f>RIGHT(Dataset!$D14,2)</f>
        <v>DE</v>
      </c>
      <c r="C14" s="7" t="str">
        <f>LEFT(Dataset!$D14,2)</f>
        <v>08</v>
      </c>
      <c r="D14" s="8" t="s">
        <v>71</v>
      </c>
      <c r="E14" s="8" t="s">
        <v>38</v>
      </c>
      <c r="F14" s="8" t="s">
        <v>72</v>
      </c>
      <c r="G14" s="8" t="str">
        <f>IF(Dataset!$H14&gt;=500,"high price","standard price")</f>
        <v>standard price</v>
      </c>
      <c r="H14" s="8">
        <v>120.0</v>
      </c>
      <c r="I14" s="8">
        <v>35.0</v>
      </c>
      <c r="J14" s="8" t="s">
        <v>40</v>
      </c>
    </row>
    <row r="15" ht="15.75" customHeight="1">
      <c r="A15" s="7" t="str">
        <f>MID(Dataset!$D15,4,3)</f>
        <v/>
      </c>
      <c r="B15" s="7" t="str">
        <f>RIGHT(Dataset!$D15,2)</f>
        <v/>
      </c>
      <c r="C15" s="7" t="str">
        <f>LEFT(Dataset!$D15,2)</f>
        <v/>
      </c>
      <c r="D15" s="8"/>
      <c r="E15" s="8" t="s">
        <v>73</v>
      </c>
      <c r="F15" s="8" t="s">
        <v>74</v>
      </c>
      <c r="G15" s="8" t="str">
        <f>IF(Dataset!$H15&gt;=500,"high price","standard price")</f>
        <v>standard price</v>
      </c>
      <c r="H15" s="8">
        <v>150.0</v>
      </c>
      <c r="I15" s="8">
        <v>15.0</v>
      </c>
      <c r="J15" s="8" t="s">
        <v>30</v>
      </c>
    </row>
    <row r="16" ht="15.75" customHeight="1">
      <c r="A16" s="7" t="str">
        <f>MID(Dataset!$D16,4,3)</f>
        <v>APR</v>
      </c>
      <c r="B16" s="7" t="str">
        <f>RIGHT(Dataset!$D16,2)</f>
        <v>ES</v>
      </c>
      <c r="C16" s="7" t="str">
        <f>LEFT(Dataset!$D16,2)</f>
        <v>16</v>
      </c>
      <c r="D16" s="8" t="s">
        <v>75</v>
      </c>
      <c r="E16" s="8" t="s">
        <v>52</v>
      </c>
      <c r="F16" s="8" t="s">
        <v>76</v>
      </c>
      <c r="G16" s="8" t="str">
        <f>IF(Dataset!$H16&gt;=500,"high price","standard price")</f>
        <v>standard price</v>
      </c>
      <c r="H16" s="8">
        <v>250.0</v>
      </c>
      <c r="I16" s="8">
        <v>20.0</v>
      </c>
      <c r="J16" s="8" t="s">
        <v>30</v>
      </c>
    </row>
    <row r="17" ht="15.75" customHeight="1">
      <c r="A17" s="7" t="str">
        <f>MID(Dataset!$D17,4,3)</f>
        <v>AUG</v>
      </c>
      <c r="B17" s="7" t="str">
        <f>RIGHT(Dataset!$D17,2)</f>
        <v>CA</v>
      </c>
      <c r="C17" s="7" t="str">
        <f>LEFT(Dataset!$D17,2)</f>
        <v>21</v>
      </c>
      <c r="D17" s="8" t="s">
        <v>77</v>
      </c>
      <c r="E17" s="8" t="s">
        <v>78</v>
      </c>
      <c r="F17" s="8" t="s">
        <v>79</v>
      </c>
      <c r="G17" s="8" t="str">
        <f>IF(Dataset!$H17&gt;=500,"high price","standard price")</f>
        <v>standard price</v>
      </c>
      <c r="H17" s="8">
        <v>50.0</v>
      </c>
      <c r="I17" s="8">
        <v>35.0</v>
      </c>
      <c r="J17" s="8" t="s">
        <v>80</v>
      </c>
    </row>
    <row r="18" ht="15.75" customHeight="1">
      <c r="A18" s="7" t="str">
        <f>MID(Dataset!$D18,4,3)</f>
        <v>AUG</v>
      </c>
      <c r="B18" s="7" t="str">
        <f>RIGHT(Dataset!$D18,2)</f>
        <v>CN</v>
      </c>
      <c r="C18" s="7" t="str">
        <f>LEFT(Dataset!$D18,2)</f>
        <v>20</v>
      </c>
      <c r="D18" s="8" t="s">
        <v>81</v>
      </c>
      <c r="E18" s="8" t="s">
        <v>73</v>
      </c>
      <c r="F18" s="8" t="s">
        <v>82</v>
      </c>
      <c r="G18" s="8" t="str">
        <f>IF(Dataset!$H18&gt;=500,"high price","standard price")</f>
        <v>standard price</v>
      </c>
      <c r="H18" s="8">
        <v>160.0</v>
      </c>
      <c r="I18" s="8">
        <v>15.0</v>
      </c>
      <c r="J18" s="8" t="s">
        <v>30</v>
      </c>
    </row>
    <row r="19" ht="15.75" customHeight="1">
      <c r="A19" s="7" t="str">
        <f>MID(Dataset!$D19,4,3)</f>
        <v>JAN</v>
      </c>
      <c r="B19" s="7" t="str">
        <f>RIGHT(Dataset!$D19,2)</f>
        <v>IT</v>
      </c>
      <c r="C19" s="7" t="str">
        <f>LEFT(Dataset!$D19,2)</f>
        <v>27</v>
      </c>
      <c r="D19" s="8" t="s">
        <v>83</v>
      </c>
      <c r="E19" s="8" t="s">
        <v>28</v>
      </c>
      <c r="F19" s="8" t="s">
        <v>84</v>
      </c>
      <c r="G19" s="8" t="str">
        <f>IF(Dataset!$H19&gt;=500,"high price","standard price")</f>
        <v>high price</v>
      </c>
      <c r="H19" s="8">
        <v>980.0</v>
      </c>
      <c r="I19" s="8">
        <v>10.0</v>
      </c>
      <c r="J19" s="8" t="s">
        <v>30</v>
      </c>
    </row>
    <row r="20" ht="15.75" customHeight="1">
      <c r="A20" s="7" t="str">
        <f>MID(Dataset!$D20,4,3)</f>
        <v>MAR</v>
      </c>
      <c r="B20" s="7" t="str">
        <f>RIGHT(Dataset!$D20,2)</f>
        <v>UK</v>
      </c>
      <c r="C20" s="7" t="str">
        <f>LEFT(Dataset!$D20,2)</f>
        <v>01</v>
      </c>
      <c r="D20" s="8" t="s">
        <v>85</v>
      </c>
      <c r="E20" s="8" t="s">
        <v>86</v>
      </c>
      <c r="F20" s="8" t="s">
        <v>87</v>
      </c>
      <c r="G20" s="8" t="str">
        <f>IF(Dataset!$H20&gt;=500,"high price","standard price")</f>
        <v>standard price</v>
      </c>
      <c r="H20" s="8">
        <v>150.0</v>
      </c>
      <c r="I20" s="8">
        <v>15.0</v>
      </c>
      <c r="J20" s="8" t="s">
        <v>35</v>
      </c>
    </row>
    <row r="21" ht="15.75" customHeight="1">
      <c r="A21" s="7" t="str">
        <f>MID(Dataset!$D21,4,3)</f>
        <v>AUG</v>
      </c>
      <c r="B21" s="7" t="str">
        <f>RIGHT(Dataset!$D21,2)</f>
        <v>US</v>
      </c>
      <c r="C21" s="7" t="str">
        <f>LEFT(Dataset!$D21,2)</f>
        <v>14</v>
      </c>
      <c r="D21" s="8" t="s">
        <v>88</v>
      </c>
      <c r="E21" s="8" t="s">
        <v>89</v>
      </c>
      <c r="F21" s="8" t="s">
        <v>90</v>
      </c>
      <c r="G21" s="8" t="str">
        <f>IF(Dataset!$H21&gt;=500,"high price","standard price")</f>
        <v>standard price</v>
      </c>
      <c r="H21" s="8">
        <v>200.0</v>
      </c>
      <c r="I21" s="8">
        <v>10.0</v>
      </c>
      <c r="J21" s="8" t="s">
        <v>49</v>
      </c>
    </row>
    <row r="22" ht="15.75" customHeight="1">
      <c r="A22" s="7" t="str">
        <f>MID(Dataset!$D22,4,3)</f>
        <v>MAY</v>
      </c>
      <c r="B22" s="7" t="str">
        <f>RIGHT(Dataset!$D22,2)</f>
        <v>RU</v>
      </c>
      <c r="C22" s="7" t="str">
        <f>LEFT(Dataset!$D22,2)</f>
        <v>14</v>
      </c>
      <c r="D22" s="8" t="s">
        <v>91</v>
      </c>
      <c r="E22" s="8" t="s">
        <v>92</v>
      </c>
      <c r="F22" s="8" t="s">
        <v>93</v>
      </c>
      <c r="G22" s="8" t="str">
        <f>IF(Dataset!$H22&gt;=500,"high price","standard price")</f>
        <v>high price</v>
      </c>
      <c r="H22" s="8">
        <v>700.0</v>
      </c>
      <c r="I22" s="8">
        <v>50.0</v>
      </c>
      <c r="J22" s="8" t="s">
        <v>30</v>
      </c>
    </row>
    <row r="23" ht="15.75" customHeight="1">
      <c r="A23" s="7" t="str">
        <f>MID(Dataset!$D23,4,3)</f>
        <v>JAN</v>
      </c>
      <c r="B23" s="7" t="str">
        <f>RIGHT(Dataset!$D23,2)</f>
        <v>CA</v>
      </c>
      <c r="C23" s="7" t="str">
        <f>LEFT(Dataset!$D23,2)</f>
        <v>09</v>
      </c>
      <c r="D23" s="8" t="s">
        <v>94</v>
      </c>
      <c r="E23" s="8" t="s">
        <v>95</v>
      </c>
      <c r="F23" s="8" t="s">
        <v>96</v>
      </c>
      <c r="G23" s="8" t="str">
        <f>IF(Dataset!$H23&gt;=500,"high price","standard price")</f>
        <v>standard price</v>
      </c>
      <c r="H23" s="8">
        <v>80.0</v>
      </c>
      <c r="I23" s="8">
        <v>20.0</v>
      </c>
      <c r="J23" s="8" t="s">
        <v>40</v>
      </c>
    </row>
    <row r="24" ht="15.75" customHeight="1">
      <c r="A24" s="7" t="str">
        <f>MID(Dataset!$D24,4,3)</f>
        <v>JUL</v>
      </c>
      <c r="B24" s="7" t="str">
        <f>RIGHT(Dataset!$D24,2)</f>
        <v>BR</v>
      </c>
      <c r="C24" s="7" t="str">
        <f>LEFT(Dataset!$D24,2)</f>
        <v>19</v>
      </c>
      <c r="D24" s="8" t="s">
        <v>97</v>
      </c>
      <c r="E24" s="8" t="s">
        <v>98</v>
      </c>
      <c r="F24" s="8" t="s">
        <v>99</v>
      </c>
      <c r="G24" s="8" t="str">
        <f>IF(Dataset!$H24&gt;=500,"high price","standard price")</f>
        <v>standard price</v>
      </c>
      <c r="H24" s="8">
        <v>150.0</v>
      </c>
      <c r="I24" s="8">
        <v>30.0</v>
      </c>
      <c r="J24" s="8" t="s">
        <v>30</v>
      </c>
    </row>
    <row r="25" ht="15.75" customHeight="1">
      <c r="A25" s="7" t="str">
        <f>MID(Dataset!$D25,4,3)</f>
        <v>AUG</v>
      </c>
      <c r="B25" s="7" t="str">
        <f>RIGHT(Dataset!$D25,2)</f>
        <v>CA</v>
      </c>
      <c r="C25" s="7" t="str">
        <f>LEFT(Dataset!$D25,2)</f>
        <v>21</v>
      </c>
      <c r="D25" s="13" t="s">
        <v>77</v>
      </c>
      <c r="E25" s="13" t="s">
        <v>78</v>
      </c>
      <c r="F25" s="13" t="s">
        <v>79</v>
      </c>
      <c r="G25" s="13" t="str">
        <f>IF(Dataset!$H25&gt;=500,"high price","standard price")</f>
        <v>standard price</v>
      </c>
      <c r="H25" s="14">
        <v>50.0</v>
      </c>
      <c r="I25" s="14">
        <v>35.0</v>
      </c>
      <c r="J25" s="13" t="s">
        <v>80</v>
      </c>
    </row>
    <row r="26" ht="15.75" customHeight="1">
      <c r="A26" s="7" t="str">
        <f>MID(Dataset!$D26,4,3)</f>
        <v>SEP</v>
      </c>
      <c r="B26" s="7" t="str">
        <f>RIGHT(Dataset!$D26,2)</f>
        <v>CA</v>
      </c>
      <c r="C26" s="7" t="str">
        <f>LEFT(Dataset!$D26,2)</f>
        <v>29</v>
      </c>
      <c r="D26" s="8" t="s">
        <v>100</v>
      </c>
      <c r="E26" s="8" t="s">
        <v>43</v>
      </c>
      <c r="F26" s="8" t="s">
        <v>101</v>
      </c>
      <c r="G26" s="8" t="str">
        <f>IF(Dataset!$H26&gt;=500,"high price","standard price")</f>
        <v>high price</v>
      </c>
      <c r="H26" s="8">
        <v>800.0</v>
      </c>
      <c r="I26" s="8">
        <v>45.0</v>
      </c>
      <c r="J26" s="8" t="s">
        <v>30</v>
      </c>
    </row>
    <row r="27" ht="15.75" customHeight="1">
      <c r="A27" s="7" t="str">
        <f>MID(Dataset!$D27,4,3)</f>
        <v>JUN</v>
      </c>
      <c r="B27" s="7" t="str">
        <f>RIGHT(Dataset!$D27,2)</f>
        <v>CA</v>
      </c>
      <c r="C27" s="7" t="str">
        <f>LEFT(Dataset!$D27,2)</f>
        <v>03</v>
      </c>
      <c r="D27" s="8" t="s">
        <v>102</v>
      </c>
      <c r="E27" s="8" t="s">
        <v>86</v>
      </c>
      <c r="F27" s="8" t="s">
        <v>103</v>
      </c>
      <c r="G27" s="8" t="str">
        <f>IF(Dataset!$H27&gt;=500,"high price","standard price")</f>
        <v>standard price</v>
      </c>
      <c r="H27" s="8">
        <v>130.0</v>
      </c>
      <c r="I27" s="8">
        <v>25.0</v>
      </c>
      <c r="J27" s="8" t="s">
        <v>35</v>
      </c>
    </row>
    <row r="28" ht="15.75" customHeight="1">
      <c r="A28" s="7" t="str">
        <f>MID(Dataset!$D28,4,3)</f>
        <v>JUL</v>
      </c>
      <c r="B28" s="7" t="str">
        <f>RIGHT(Dataset!$D28,2)</f>
        <v>CA</v>
      </c>
      <c r="C28" s="7" t="str">
        <f>LEFT(Dataset!$D28,2)</f>
        <v>11</v>
      </c>
      <c r="D28" s="8" t="s">
        <v>104</v>
      </c>
      <c r="E28" s="8" t="s">
        <v>60</v>
      </c>
      <c r="F28" s="8" t="s">
        <v>105</v>
      </c>
      <c r="G28" s="8" t="str">
        <f>IF(Dataset!$H28&gt;=500,"high price","standard price")</f>
        <v>standard price</v>
      </c>
      <c r="H28" s="8">
        <v>400.0</v>
      </c>
      <c r="I28" s="8">
        <v>40.0</v>
      </c>
      <c r="J28" s="8" t="s">
        <v>40</v>
      </c>
    </row>
    <row r="29" ht="15.75" customHeight="1">
      <c r="A29" s="7" t="str">
        <f>MID(Dataset!$D29,4,3)</f>
        <v>APR</v>
      </c>
      <c r="B29" s="7" t="str">
        <f>RIGHT(Dataset!$D29,2)</f>
        <v>ES</v>
      </c>
      <c r="C29" s="7" t="str">
        <f>LEFT(Dataset!$D29,2)</f>
        <v>16</v>
      </c>
      <c r="D29" s="13" t="s">
        <v>75</v>
      </c>
      <c r="E29" s="13" t="s">
        <v>52</v>
      </c>
      <c r="F29" s="13" t="s">
        <v>76</v>
      </c>
      <c r="G29" s="13" t="str">
        <f>IF(Dataset!$H29&gt;=500,"high price","standard price")</f>
        <v>standard price</v>
      </c>
      <c r="H29" s="14">
        <v>230.0</v>
      </c>
      <c r="I29" s="14">
        <v>20.0</v>
      </c>
      <c r="J29" s="13" t="s">
        <v>30</v>
      </c>
    </row>
    <row r="30" ht="15.75" customHeight="1">
      <c r="A30" s="7" t="str">
        <f>MID(Dataset!$D30,4,3)</f>
        <v>MAR</v>
      </c>
      <c r="B30" s="7" t="str">
        <f>RIGHT(Dataset!$D30,2)</f>
        <v>CA</v>
      </c>
      <c r="C30" s="7" t="str">
        <f>LEFT(Dataset!$D30,2)</f>
        <v>07</v>
      </c>
      <c r="D30" s="8" t="s">
        <v>106</v>
      </c>
      <c r="E30" s="8" t="s">
        <v>107</v>
      </c>
      <c r="F30" s="8" t="s">
        <v>108</v>
      </c>
      <c r="G30" s="8" t="str">
        <f>IF(Dataset!$H30&gt;=500,"high price","standard price")</f>
        <v>standard price</v>
      </c>
      <c r="H30" s="8">
        <v>60.0</v>
      </c>
      <c r="I30" s="8">
        <v>30.0</v>
      </c>
      <c r="J30" s="8" t="s">
        <v>35</v>
      </c>
    </row>
    <row r="31" ht="15.75" customHeight="1">
      <c r="A31" s="7" t="str">
        <f>MID(Dataset!$D31,4,3)</f>
        <v>APR</v>
      </c>
      <c r="B31" s="7" t="str">
        <f>RIGHT(Dataset!$D31,2)</f>
        <v>CA</v>
      </c>
      <c r="C31" s="7" t="str">
        <f>LEFT(Dataset!$D31,2)</f>
        <v>13</v>
      </c>
      <c r="D31" s="8" t="s">
        <v>109</v>
      </c>
      <c r="E31" s="8" t="s">
        <v>110</v>
      </c>
      <c r="F31" s="8" t="s">
        <v>111</v>
      </c>
      <c r="G31" s="8" t="str">
        <f>IF(Dataset!$H31&gt;=500,"high price","standard price")</f>
        <v>standard price</v>
      </c>
      <c r="H31" s="8">
        <v>40.0</v>
      </c>
      <c r="I31" s="8">
        <v>10.0</v>
      </c>
      <c r="J31" s="8" t="s">
        <v>40</v>
      </c>
    </row>
    <row r="32" ht="15.75" customHeight="1">
      <c r="A32" s="7" t="str">
        <f>MID(Dataset!$D32,4,3)</f>
        <v>MAY</v>
      </c>
      <c r="B32" s="7" t="str">
        <f>RIGHT(Dataset!$D32,2)</f>
        <v>CA</v>
      </c>
      <c r="C32" s="7" t="str">
        <f>LEFT(Dataset!$D32,2)</f>
        <v>24</v>
      </c>
      <c r="D32" s="8" t="s">
        <v>112</v>
      </c>
      <c r="E32" s="8" t="s">
        <v>98</v>
      </c>
      <c r="F32" s="8" t="s">
        <v>113</v>
      </c>
      <c r="G32" s="8" t="str">
        <f>IF(Dataset!$H32&gt;=500,"high price","standard price")</f>
        <v>standard price</v>
      </c>
      <c r="H32" s="8">
        <v>130.0</v>
      </c>
      <c r="I32" s="8">
        <v>5.0</v>
      </c>
      <c r="J32" s="8" t="s">
        <v>30</v>
      </c>
    </row>
    <row r="33" ht="15.75" customHeight="1">
      <c r="A33" s="7" t="str">
        <f>MID(Dataset!$D33,4,3)</f>
        <v>DEC</v>
      </c>
      <c r="B33" s="7" t="str">
        <f>RIGHT(Dataset!$D33,2)</f>
        <v>CA</v>
      </c>
      <c r="C33" s="7" t="str">
        <f>LEFT(Dataset!$D33,2)</f>
        <v>02</v>
      </c>
      <c r="D33" s="8" t="s">
        <v>114</v>
      </c>
      <c r="E33" s="8" t="s">
        <v>115</v>
      </c>
      <c r="F33" s="8" t="s">
        <v>116</v>
      </c>
      <c r="G33" s="8" t="str">
        <f>IF(Dataset!$H33&gt;=500,"high price","standard price")</f>
        <v>standard price</v>
      </c>
      <c r="H33" s="8">
        <v>50.0</v>
      </c>
      <c r="I33" s="8">
        <v>50.0</v>
      </c>
      <c r="J33" s="8" t="s">
        <v>35</v>
      </c>
    </row>
    <row r="34" ht="15.75" customHeight="1">
      <c r="A34" s="7" t="str">
        <f>MID(Dataset!$D34,4,3)</f>
        <v>JUN</v>
      </c>
      <c r="B34" s="7" t="str">
        <f>RIGHT(Dataset!$D34,2)</f>
        <v>IN</v>
      </c>
      <c r="C34" s="7" t="str">
        <f>LEFT(Dataset!$D34,2)</f>
        <v>17</v>
      </c>
      <c r="D34" s="8" t="s">
        <v>68</v>
      </c>
      <c r="E34" s="8" t="s">
        <v>28</v>
      </c>
      <c r="F34" s="8" t="s">
        <v>69</v>
      </c>
      <c r="G34" s="8" t="str">
        <f>IF(Dataset!$H34&gt;=500,"high price","standard price")</f>
        <v>high price</v>
      </c>
      <c r="H34" s="8">
        <v>950.0</v>
      </c>
      <c r="I34" s="8">
        <v>25.0</v>
      </c>
      <c r="J34" s="8" t="s">
        <v>30</v>
      </c>
    </row>
    <row r="35" ht="15.75" customHeight="1">
      <c r="A35" s="7" t="str">
        <f>MID(Dataset!$D35,4,3)</f>
        <v>JUL</v>
      </c>
      <c r="B35" s="7" t="str">
        <f>RIGHT(Dataset!$D35,2)</f>
        <v>FR</v>
      </c>
      <c r="C35" s="7" t="str">
        <f>LEFT(Dataset!$D35,2)</f>
        <v>09</v>
      </c>
      <c r="D35" s="8" t="s">
        <v>117</v>
      </c>
      <c r="E35" s="8" t="s">
        <v>118</v>
      </c>
      <c r="F35" s="8"/>
      <c r="G35" s="8" t="str">
        <f>IF(Dataset!$H35&gt;=500,"high price","standard price")</f>
        <v>standard price</v>
      </c>
      <c r="H35" s="8">
        <v>100.0</v>
      </c>
      <c r="I35" s="8">
        <v>20.0</v>
      </c>
      <c r="J35" s="8" t="s">
        <v>80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